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sheetId="1" r:id="rId4"/>
    <sheet state="visible" name="Quality" sheetId="2" r:id="rId5"/>
  </sheets>
  <definedNames/>
  <calcPr/>
</workbook>
</file>

<file path=xl/sharedStrings.xml><?xml version="1.0" encoding="utf-8"?>
<sst xmlns="http://schemas.openxmlformats.org/spreadsheetml/2006/main" count="74" uniqueCount="64">
  <si>
    <t>ID</t>
  </si>
  <si>
    <t>Questions/Assertions</t>
  </si>
  <si>
    <t>Comment</t>
  </si>
  <si>
    <t>The paper proposes the following contributions:</t>
  </si>
  <si>
    <t>The paper investigates how software ecosystems (SECOs) function in the context of Federated Embedded Systems (FES). Based on interviews with nine companies from domains like automotive, aerospace, and manufacturing, the study explores the actors, architectures, and business models within these ecosystems.
Using the Business Model Canvas (BMC), the authors identify key roles, i.e., platform providers, component suppliers, system integrators, and end users, highlighting a mix of collaboration and competition. These ecosystems are generally closed, due to strict requirements on safety, reliability, real-time performance, and certification. This limits openness and standardization.
Architecturally, FES require integration of components from multiple vendors under high constraints, raising issues of scalability, interoperability, and long-term maintainability. Despite interest in model-based development, standard tools and methods are lacking.
Key challenges identified include architectural complexity, tool and system interoperability, and ecosystem sustainability. The study emphasizes the need for improved methods and tools to support SECOs in safety-critical environments, balancing agility with strict industrial constraints.</t>
  </si>
  <si>
    <t>&lt;add your comment here if any&gt;</t>
  </si>
  <si>
    <t>CPS Case Study / Example availability</t>
  </si>
  <si>
    <t>&gt;5</t>
  </si>
  <si>
    <t>Explorative case study involving 9 companies in embedded systems.</t>
  </si>
  <si>
    <t>SECO Tools Availability (add repository or website in the comment)</t>
  </si>
  <si>
    <t>N</t>
  </si>
  <si>
    <t>No SECO tools or repositories provided.</t>
  </si>
  <si>
    <t>Related Challenge - See SPE paper (Write Others in comment cell)</t>
  </si>
  <si>
    <t>Data</t>
  </si>
  <si>
    <t>Requirements engineering</t>
  </si>
  <si>
    <t>n.a.</t>
  </si>
  <si>
    <t>Architecture, Scalability, Longevity &amp; Maintainability, Interoperability.</t>
  </si>
  <si>
    <t>Does it contribute to answer RQ1?</t>
  </si>
  <si>
    <t>Y</t>
  </si>
  <si>
    <t>Addresses ecosystem characteristics, roles, and business models.</t>
  </si>
  <si>
    <t>Does the paper present methods, tools, and benefits in terms of industry/academia collaboration? If so, write what methods, tools, and benefits in the comment column</t>
  </si>
  <si>
    <t>Industry-academia collaboration via qualitative interviews. Benefits: deeper understanding of federated embedded systems (FES) ecosystems.</t>
  </si>
  <si>
    <t>Does it contribute to answer RQ2?</t>
  </si>
  <si>
    <t>Exploring development methods and implications for system architecture.</t>
  </si>
  <si>
    <t>Application Domain(s) (at least one or domain independent)</t>
  </si>
  <si>
    <t>Automotive</t>
  </si>
  <si>
    <t>Aerospace</t>
  </si>
  <si>
    <t>Manufacturing</t>
  </si>
  <si>
    <t>Quality Evaluation (From 1 to 10) - From "Quality" Tab</t>
  </si>
  <si>
    <t>RQ1: In the SECO, what are the main challenges faced during the CPS development?</t>
  </si>
  <si>
    <t>RQ2: How do industry and academia collaborate and benefit in the SECO for CPS development?</t>
  </si>
  <si>
    <t>Assessment Criterion (Question)</t>
  </si>
  <si>
    <t>Value (1, 0.5, 0)</t>
  </si>
  <si>
    <t>Reporting</t>
  </si>
  <si>
    <t>Is there a clear statement (definition) of the aims (goals, purposes, problems, motivations, objectives, questions) of the research?</t>
  </si>
  <si>
    <t>Is there an adequate description of the context in which the research was carried out?</t>
  </si>
  <si>
    <t>Is the paper based on research?</t>
  </si>
  <si>
    <t>Are references maintained accurately?</t>
  </si>
  <si>
    <t>Does the study answer the research question defined or presents the results in a clear way?</t>
  </si>
  <si>
    <t>Is the reporting clear and coherent?</t>
  </si>
  <si>
    <t>Rigor</t>
  </si>
  <si>
    <t>Are the metrics (methods, design, measures) used in the study clearly (fully) defined (description)?</t>
  </si>
  <si>
    <t>Are the variables/metrics/methods/design used in the study adequately measured and validated (justified)?</t>
  </si>
  <si>
    <t>Was the data analysis (collected) sufficiently rigorous?</t>
  </si>
  <si>
    <t>Was there a control group with which to compare treatments?</t>
  </si>
  <si>
    <t>Are the data collection methods adequately described (defined)?</t>
  </si>
  <si>
    <t>Was the data collected in a way that addressed the research issue?</t>
  </si>
  <si>
    <t>Was the research design appropriate to address the aims of the research?</t>
  </si>
  <si>
    <t>Was the recruitment strategy appropriate to the aims of the research?</t>
  </si>
  <si>
    <t>Does the study provide description and justification of the data analysis approaches?</t>
  </si>
  <si>
    <t>Is the methodology (design) used suitable to address the stated research questions?</t>
  </si>
  <si>
    <t>Is the study design stated clearly?</t>
  </si>
  <si>
    <t>Are the metrics used in the study the most relevant ones for answering the research questions?</t>
  </si>
  <si>
    <t>Credibility</t>
  </si>
  <si>
    <t>Is there a clear statement of findings (data) and relate to the aims of research?</t>
  </si>
  <si>
    <t>Do the researchers discuss any problems (limitations, threats) with the validity (reliability) of their results?</t>
  </si>
  <si>
    <t>Has the relationship between researcher and participants been considered to an adequate degree?</t>
  </si>
  <si>
    <t>Is the study replicable?</t>
  </si>
  <si>
    <t>Has sufficient data been presented to support the findings?</t>
  </si>
  <si>
    <t>Are the findings credible?</t>
  </si>
  <si>
    <t>Relevance</t>
  </si>
  <si>
    <t>Is the study of value for research or practice?</t>
  </si>
  <si>
    <t>Are conclusions, implications for practice and future research, reported suitably for its audience?</t>
  </si>
  <si>
    <t>Has the approach been validated on a certain scale (either in academia or/ and industry)?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</si>
</sst>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font>
    <font>
      <b/>
      <i/>
      <sz val="10.0"/>
      <color theme="1"/>
      <name val="Arial"/>
    </font>
    <font>
      <i/>
      <sz val="10.0"/>
      <color theme="1"/>
      <name val="Arial"/>
    </font>
    <font/>
    <font>
      <sz val="12.0"/>
      <color theme="1"/>
      <name val="Lato"/>
    </font>
    <font>
      <sz val="11.0"/>
      <color theme="1"/>
      <name val="Calibri"/>
    </font>
    <font>
      <color theme="1"/>
      <name val="Arial"/>
    </font>
  </fonts>
  <fills count="11">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000000"/>
        <bgColor rgb="FF000000"/>
      </patternFill>
    </fill>
    <fill>
      <patternFill patternType="solid">
        <fgColor rgb="FFF3F3F3"/>
        <bgColor rgb="FFF3F3F3"/>
      </patternFill>
    </fill>
    <fill>
      <patternFill patternType="solid">
        <fgColor rgb="FFE7E6E6"/>
        <bgColor rgb="FFE7E6E6"/>
      </patternFill>
    </fill>
    <fill>
      <patternFill patternType="solid">
        <fgColor rgb="FFFCE4D6"/>
        <bgColor rgb="FFFCE4D6"/>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s>
  <borders count="27">
    <border/>
    <border>
      <left/>
      <right/>
      <top/>
      <bottom/>
    </border>
    <border>
      <left style="thin">
        <color rgb="FF000000"/>
      </left>
      <right/>
      <top style="thin">
        <color rgb="FF000000"/>
      </top>
      <bottom style="thin">
        <color rgb="FF000000"/>
      </bottom>
    </border>
    <border>
      <left/>
      <right style="double">
        <color rgb="FF000000"/>
      </right>
      <top/>
    </border>
    <border>
      <left style="thin">
        <color rgb="FF000000"/>
      </left>
      <right style="thin">
        <color rgb="FF000000"/>
      </right>
      <top style="thin">
        <color rgb="FF000000"/>
      </top>
    </border>
    <border>
      <left style="thin">
        <color rgb="FF000000"/>
      </left>
      <right/>
      <top style="double">
        <color rgb="FF000000"/>
      </top>
    </border>
    <border>
      <left style="thin">
        <color rgb="FF000000"/>
      </left>
      <top style="thin">
        <color rgb="FF000000"/>
      </top>
    </border>
    <border>
      <top style="thin">
        <color rgb="FF000000"/>
      </top>
    </border>
    <border>
      <right style="double">
        <color rgb="FF000000"/>
      </right>
      <top style="thin">
        <color rgb="FF000000"/>
      </top>
    </border>
    <border>
      <left style="thin">
        <color rgb="FF000000"/>
      </left>
      <right style="double">
        <color rgb="FF000000"/>
      </right>
      <top style="thin">
        <color rgb="FF000000"/>
      </top>
    </border>
    <border>
      <left style="thin">
        <color rgb="FF000000"/>
      </left>
      <right style="thin">
        <color rgb="FF000000"/>
      </right>
      <bottom style="double">
        <color rgb="FF000000"/>
      </bottom>
    </border>
    <border>
      <left style="thin">
        <color rgb="FF000000"/>
      </left>
      <right/>
      <bottom style="double">
        <color rgb="FF000000"/>
      </bottom>
    </border>
    <border>
      <left style="thin">
        <color rgb="FF000000"/>
      </left>
      <bottom style="double">
        <color rgb="FF000000"/>
      </bottom>
    </border>
    <border>
      <bottom style="double">
        <color rgb="FF000000"/>
      </bottom>
    </border>
    <border>
      <right style="double">
        <color rgb="FF000000"/>
      </right>
      <bottom style="double">
        <color rgb="FF000000"/>
      </bottom>
    </border>
    <border>
      <left style="thin">
        <color rgb="FF000000"/>
      </left>
      <right style="double">
        <color rgb="FF000000"/>
      </right>
      <bottom style="double">
        <color rgb="FF000000"/>
      </bottom>
    </border>
    <border>
      <left style="thin">
        <color rgb="FF000000"/>
      </left>
      <right style="thin">
        <color rgb="FF000000"/>
      </right>
      <top style="double">
        <color rgb="FF000000"/>
      </top>
      <bottom style="double">
        <color rgb="FF000000"/>
      </bottom>
    </border>
    <border>
      <left style="thin">
        <color rgb="FF000000"/>
      </left>
      <right style="thin">
        <color rgb="FF000000"/>
      </right>
      <top/>
      <bottom style="thin">
        <color rgb="FF000000"/>
      </bottom>
    </border>
    <border>
      <left style="thin">
        <color rgb="FF000000"/>
      </left>
      <right style="double">
        <color rgb="FF000000"/>
      </right>
      <top style="thin">
        <color rgb="FF000000"/>
      </top>
      <bottom style="double">
        <color rgb="FF000000"/>
      </bottom>
    </border>
    <border>
      <left style="thin">
        <color rgb="FF000000"/>
      </left>
      <right/>
      <top/>
      <bottom style="double">
        <color rgb="FF000000"/>
      </bottom>
    </border>
    <border>
      <left/>
      <right style="thin">
        <color rgb="FF000000"/>
      </right>
      <top style="double">
        <color rgb="FF000000"/>
      </top>
      <bottom style="double">
        <color rgb="FF000000"/>
      </bottom>
    </border>
    <border>
      <left style="thin">
        <color rgb="FF000000"/>
      </left>
      <right style="thin">
        <color rgb="FF000000"/>
      </right>
      <top/>
      <bottom style="double">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2" numFmtId="0" xfId="0" applyAlignment="1" applyBorder="1" applyFont="1">
      <alignment horizontal="center" shrinkToFit="0" vertical="top" wrapText="1"/>
    </xf>
    <xf borderId="4" fillId="3" fontId="1" numFmtId="0" xfId="0" applyBorder="1" applyFill="1" applyFont="1"/>
    <xf borderId="5" fillId="3" fontId="1" numFmtId="1" xfId="0" applyAlignment="1" applyBorder="1" applyFont="1" applyNumberFormat="1">
      <alignment horizontal="left"/>
    </xf>
    <xf borderId="6" fillId="3" fontId="3" numFmtId="1" xfId="0" applyAlignment="1" applyBorder="1" applyFont="1" applyNumberFormat="1">
      <alignment readingOrder="0" shrinkToFit="0" vertical="bottom" wrapText="1"/>
    </xf>
    <xf borderId="7" fillId="0" fontId="4" numFmtId="0" xfId="0" applyBorder="1" applyFont="1"/>
    <xf borderId="8" fillId="0" fontId="4" numFmtId="0" xfId="0" applyBorder="1" applyFont="1"/>
    <xf borderId="9" fillId="3" fontId="3" numFmtId="1" xfId="0" applyAlignment="1" applyBorder="1" applyFont="1" applyNumberFormat="1">
      <alignment readingOrder="0" shrinkToFit="0" vertical="bottom"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3" fontId="1" numFmtId="0" xfId="0" applyBorder="1" applyFont="1"/>
    <xf borderId="16" fillId="3" fontId="1" numFmtId="1" xfId="0" applyAlignment="1" applyBorder="1" applyFont="1" applyNumberFormat="1">
      <alignment horizontal="right" readingOrder="0"/>
    </xf>
    <xf borderId="16" fillId="4" fontId="1" numFmtId="1" xfId="0" applyBorder="1" applyFill="1" applyFont="1" applyNumberFormat="1"/>
    <xf borderId="15" fillId="3" fontId="3" numFmtId="1" xfId="0" applyAlignment="1" applyBorder="1" applyFont="1" applyNumberFormat="1">
      <alignment readingOrder="0" shrinkToFit="0" vertical="top" wrapText="1"/>
    </xf>
    <xf borderId="17" fillId="5" fontId="1" numFmtId="1" xfId="0" applyAlignment="1" applyBorder="1" applyFill="1" applyFont="1" applyNumberFormat="1">
      <alignment horizontal="right"/>
    </xf>
    <xf borderId="18" fillId="5" fontId="3" numFmtId="1" xfId="0" applyAlignment="1" applyBorder="1" applyFont="1" applyNumberFormat="1">
      <alignment readingOrder="0" shrinkToFit="0" vertical="top" wrapText="1"/>
    </xf>
    <xf borderId="16" fillId="3" fontId="1" numFmtId="1" xfId="0" applyAlignment="1" applyBorder="1" applyFont="1" applyNumberFormat="1">
      <alignment horizontal="right"/>
    </xf>
    <xf borderId="18" fillId="3" fontId="3" numFmtId="1" xfId="0" applyAlignment="1" applyBorder="1" applyFont="1" applyNumberFormat="1">
      <alignment readingOrder="0" shrinkToFit="0" vertical="top" wrapText="1"/>
    </xf>
    <xf borderId="19" fillId="3" fontId="1" numFmtId="1" xfId="0" applyAlignment="1" applyBorder="1" applyFont="1" applyNumberFormat="1">
      <alignment horizontal="right" readingOrder="0"/>
    </xf>
    <xf borderId="20" fillId="4" fontId="1" numFmtId="1" xfId="0" applyBorder="1" applyFont="1" applyNumberFormat="1"/>
    <xf borderId="16" fillId="3" fontId="1" numFmtId="0" xfId="0" applyAlignment="1" applyBorder="1" applyFont="1">
      <alignment shrinkToFit="0" wrapText="1"/>
    </xf>
    <xf borderId="19" fillId="5" fontId="1" numFmtId="1" xfId="0" applyAlignment="1" applyBorder="1" applyFont="1" applyNumberFormat="1">
      <alignment horizontal="right" readingOrder="0"/>
    </xf>
    <xf borderId="21" fillId="3" fontId="1" numFmtId="1" xfId="0" applyAlignment="1" applyBorder="1" applyFont="1" applyNumberFormat="1">
      <alignment horizontal="right" readingOrder="0"/>
    </xf>
    <xf borderId="21" fillId="3" fontId="1" numFmtId="1" xfId="0" applyAlignment="1" applyBorder="1" applyFont="1" applyNumberFormat="1">
      <alignment horizontal="right"/>
    </xf>
    <xf borderId="18" fillId="3" fontId="3" numFmtId="1" xfId="0" applyAlignment="1" applyBorder="1" applyFont="1" applyNumberFormat="1">
      <alignment shrinkToFit="0" vertical="top" wrapText="1"/>
    </xf>
    <xf borderId="18" fillId="3" fontId="3" numFmtId="0" xfId="0" applyAlignment="1" applyBorder="1" applyFont="1">
      <alignment shrinkToFit="0" vertical="top" wrapText="1"/>
    </xf>
    <xf borderId="18" fillId="5" fontId="3" numFmtId="1" xfId="0" applyAlignment="1" applyBorder="1" applyFont="1" applyNumberFormat="1">
      <alignment shrinkToFit="0" vertical="top" wrapText="1"/>
    </xf>
    <xf borderId="0" fillId="3" fontId="5" numFmtId="0" xfId="0" applyAlignment="1" applyFont="1">
      <alignment vertical="bottom"/>
    </xf>
    <xf borderId="22" fillId="3" fontId="6" numFmtId="0" xfId="0" applyAlignment="1" applyBorder="1" applyFont="1">
      <alignment vertical="bottom"/>
    </xf>
    <xf borderId="23" fillId="6" fontId="6" numFmtId="0" xfId="0" applyAlignment="1" applyBorder="1" applyFill="1" applyFont="1">
      <alignment vertical="bottom"/>
    </xf>
    <xf borderId="0" fillId="0" fontId="7" numFmtId="0" xfId="0" applyAlignment="1" applyFont="1">
      <alignment vertical="bottom"/>
    </xf>
    <xf borderId="0" fillId="0" fontId="7" numFmtId="0" xfId="0" applyAlignment="1" applyFont="1">
      <alignment vertical="bottom"/>
    </xf>
    <xf borderId="0" fillId="0" fontId="6" numFmtId="0" xfId="0" applyAlignment="1" applyFont="1">
      <alignment vertical="bottom"/>
    </xf>
    <xf borderId="24" fillId="7" fontId="6" numFmtId="0" xfId="0" applyAlignment="1" applyBorder="1" applyFill="1" applyFont="1">
      <alignment horizontal="center" textRotation="90"/>
    </xf>
    <xf borderId="25" fillId="7" fontId="6" numFmtId="0" xfId="0" applyAlignment="1" applyBorder="1" applyFont="1">
      <alignment vertical="bottom"/>
    </xf>
    <xf borderId="25" fillId="7" fontId="6" numFmtId="0" xfId="0" applyAlignment="1" applyBorder="1" applyFont="1">
      <alignment horizontal="right" vertical="bottom"/>
    </xf>
    <xf borderId="0" fillId="0" fontId="6" numFmtId="0" xfId="0" applyAlignment="1" applyFont="1">
      <alignment horizontal="right" vertical="bottom"/>
    </xf>
    <xf borderId="24" fillId="0" fontId="4" numFmtId="0" xfId="0" applyBorder="1" applyFont="1"/>
    <xf borderId="26" fillId="0" fontId="4" numFmtId="0" xfId="0" applyBorder="1" applyFont="1"/>
    <xf borderId="0" fillId="0" fontId="7" numFmtId="0" xfId="0" applyAlignment="1" applyFont="1">
      <alignment horizontal="right" vertical="bottom"/>
    </xf>
    <xf borderId="24" fillId="8" fontId="6" numFmtId="0" xfId="0" applyAlignment="1" applyBorder="1" applyFill="1" applyFont="1">
      <alignment horizontal="center" textRotation="90"/>
    </xf>
    <xf borderId="25" fillId="8" fontId="6" numFmtId="0" xfId="0" applyAlignment="1" applyBorder="1" applyFont="1">
      <alignment vertical="bottom"/>
    </xf>
    <xf borderId="25" fillId="8" fontId="6" numFmtId="0" xfId="0" applyAlignment="1" applyBorder="1" applyFont="1">
      <alignment horizontal="right" vertical="bottom"/>
    </xf>
    <xf borderId="25" fillId="8" fontId="6" numFmtId="0" xfId="0" applyAlignment="1" applyBorder="1" applyFont="1">
      <alignment horizontal="right" readingOrder="0" vertical="bottom"/>
    </xf>
    <xf borderId="24" fillId="9" fontId="6" numFmtId="0" xfId="0" applyAlignment="1" applyBorder="1" applyFill="1" applyFont="1">
      <alignment horizontal="center" textRotation="90"/>
    </xf>
    <xf borderId="25" fillId="9" fontId="6" numFmtId="0" xfId="0" applyAlignment="1" applyBorder="1" applyFont="1">
      <alignment vertical="bottom"/>
    </xf>
    <xf borderId="25" fillId="9" fontId="6" numFmtId="0" xfId="0" applyAlignment="1" applyBorder="1" applyFont="1">
      <alignment horizontal="right" vertical="bottom"/>
    </xf>
    <xf borderId="25" fillId="9" fontId="6" numFmtId="0" xfId="0" applyAlignment="1" applyBorder="1" applyFont="1">
      <alignment horizontal="right" readingOrder="0" vertical="bottom"/>
    </xf>
    <xf borderId="0" fillId="0" fontId="7" numFmtId="0" xfId="0" applyAlignment="1" applyFont="1">
      <alignment horizontal="right" vertical="bottom"/>
    </xf>
    <xf borderId="24" fillId="10" fontId="6" numFmtId="0" xfId="0" applyAlignment="1" applyBorder="1" applyFill="1" applyFont="1">
      <alignment horizontal="center" textRotation="90"/>
    </xf>
    <xf borderId="25" fillId="10" fontId="6" numFmtId="0" xfId="0" applyAlignment="1" applyBorder="1" applyFont="1">
      <alignment vertical="bottom"/>
    </xf>
    <xf borderId="25" fillId="10" fontId="6" numFmtId="0" xfId="0" applyAlignment="1" applyBorder="1" applyFont="1">
      <alignment horizontal="right" vertical="bottom"/>
    </xf>
    <xf borderId="25" fillId="10" fontId="6" numFmtId="0" xfId="0" applyAlignment="1" applyBorder="1" applyFont="1">
      <alignment horizontal="right" readingOrder="0" vertical="bottom"/>
    </xf>
    <xf borderId="0" fillId="0" fontId="7" numFmtId="0" xfId="0" applyFont="1"/>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
    <col customWidth="1" min="2" max="2" width="62.38"/>
    <col customWidth="1" min="3" max="3" width="9.0"/>
    <col customWidth="1" min="4" max="4" width="9.88"/>
    <col customWidth="1" min="5" max="5" width="9.0"/>
    <col customWidth="1" min="6" max="6" width="10.0"/>
    <col customWidth="1" min="7" max="7" width="9.38"/>
    <col customWidth="1" min="8" max="8" width="9.63"/>
    <col customWidth="1" min="9" max="9" width="62.13"/>
    <col customWidth="1" min="10" max="26" width="11.13"/>
  </cols>
  <sheetData>
    <row r="1" ht="15.75" customHeight="1">
      <c r="A1" s="1" t="s">
        <v>0</v>
      </c>
      <c r="B1" s="2" t="s">
        <v>1</v>
      </c>
      <c r="C1" s="1"/>
      <c r="D1" s="1"/>
      <c r="E1" s="1"/>
      <c r="F1" s="1"/>
      <c r="G1" s="1"/>
      <c r="H1" s="1"/>
      <c r="I1" s="3" t="s">
        <v>2</v>
      </c>
    </row>
    <row r="2" ht="15.75" customHeight="1">
      <c r="A2" s="4">
        <v>1.0</v>
      </c>
      <c r="B2" s="5" t="s">
        <v>3</v>
      </c>
      <c r="C2" s="6" t="s">
        <v>4</v>
      </c>
      <c r="D2" s="7"/>
      <c r="E2" s="7"/>
      <c r="F2" s="7"/>
      <c r="G2" s="7"/>
      <c r="H2" s="8"/>
      <c r="I2" s="9" t="s">
        <v>5</v>
      </c>
    </row>
    <row r="3" ht="310.5" customHeight="1">
      <c r="A3" s="10"/>
      <c r="B3" s="11"/>
      <c r="C3" s="12"/>
      <c r="D3" s="13"/>
      <c r="E3" s="13"/>
      <c r="F3" s="13"/>
      <c r="G3" s="13"/>
      <c r="H3" s="14"/>
      <c r="I3" s="15"/>
    </row>
    <row r="4" ht="15.75" customHeight="1">
      <c r="A4" s="16">
        <v>2.0</v>
      </c>
      <c r="B4" s="16" t="s">
        <v>6</v>
      </c>
      <c r="C4" s="17" t="s">
        <v>7</v>
      </c>
      <c r="D4" s="18"/>
      <c r="E4" s="18"/>
      <c r="F4" s="18"/>
      <c r="G4" s="18"/>
      <c r="H4" s="18"/>
      <c r="I4" s="19" t="s">
        <v>8</v>
      </c>
    </row>
    <row r="5" ht="15.75" customHeight="1">
      <c r="A5" s="16">
        <v>3.0</v>
      </c>
      <c r="B5" s="16" t="s">
        <v>9</v>
      </c>
      <c r="C5" s="20" t="s">
        <v>10</v>
      </c>
      <c r="D5" s="18"/>
      <c r="E5" s="18"/>
      <c r="F5" s="18"/>
      <c r="G5" s="18"/>
      <c r="H5" s="18"/>
      <c r="I5" s="21" t="s">
        <v>11</v>
      </c>
    </row>
    <row r="6" ht="15.75" customHeight="1">
      <c r="A6" s="16">
        <v>4.0</v>
      </c>
      <c r="B6" s="16" t="s">
        <v>12</v>
      </c>
      <c r="C6" s="17" t="s">
        <v>13</v>
      </c>
      <c r="D6" s="17" t="s">
        <v>14</v>
      </c>
      <c r="E6" s="22" t="s">
        <v>15</v>
      </c>
      <c r="F6" s="22" t="s">
        <v>15</v>
      </c>
      <c r="G6" s="22" t="s">
        <v>15</v>
      </c>
      <c r="H6" s="22" t="s">
        <v>15</v>
      </c>
      <c r="I6" s="23" t="s">
        <v>16</v>
      </c>
    </row>
    <row r="7" ht="15.75" customHeight="1">
      <c r="A7" s="16">
        <v>5.0</v>
      </c>
      <c r="B7" s="16" t="s">
        <v>17</v>
      </c>
      <c r="C7" s="24" t="s">
        <v>18</v>
      </c>
      <c r="D7" s="25"/>
      <c r="E7" s="25"/>
      <c r="F7" s="25"/>
      <c r="G7" s="25"/>
      <c r="H7" s="18"/>
      <c r="I7" s="23" t="s">
        <v>19</v>
      </c>
    </row>
    <row r="8" ht="15.75" customHeight="1">
      <c r="A8" s="16">
        <v>6.0</v>
      </c>
      <c r="B8" s="26" t="s">
        <v>20</v>
      </c>
      <c r="C8" s="24" t="s">
        <v>18</v>
      </c>
      <c r="D8" s="25"/>
      <c r="E8" s="25"/>
      <c r="F8" s="25"/>
      <c r="G8" s="25"/>
      <c r="H8" s="18"/>
      <c r="I8" s="23" t="s">
        <v>21</v>
      </c>
    </row>
    <row r="9" ht="15.75" customHeight="1">
      <c r="A9" s="16">
        <v>7.0</v>
      </c>
      <c r="B9" s="16" t="s">
        <v>22</v>
      </c>
      <c r="C9" s="27" t="s">
        <v>18</v>
      </c>
      <c r="D9" s="25"/>
      <c r="E9" s="25"/>
      <c r="F9" s="25"/>
      <c r="G9" s="25"/>
      <c r="H9" s="18"/>
      <c r="I9" s="21" t="s">
        <v>23</v>
      </c>
    </row>
    <row r="10" ht="15.75" customHeight="1">
      <c r="A10" s="16">
        <v>8.0</v>
      </c>
      <c r="B10" s="16" t="s">
        <v>24</v>
      </c>
      <c r="C10" s="28" t="s">
        <v>25</v>
      </c>
      <c r="D10" s="28" t="s">
        <v>26</v>
      </c>
      <c r="E10" s="28" t="s">
        <v>27</v>
      </c>
      <c r="F10" s="29" t="s">
        <v>15</v>
      </c>
      <c r="G10" s="29" t="s">
        <v>15</v>
      </c>
      <c r="H10" s="29" t="s">
        <v>15</v>
      </c>
      <c r="I10" s="30" t="s">
        <v>5</v>
      </c>
    </row>
    <row r="11" ht="15.75" customHeight="1">
      <c r="A11" s="16">
        <v>9.0</v>
      </c>
      <c r="B11" s="16" t="s">
        <v>28</v>
      </c>
      <c r="C11" s="31">
        <f>Quality!C29</f>
        <v>8.703703704</v>
      </c>
      <c r="D11" s="25"/>
      <c r="E11" s="25"/>
      <c r="F11" s="25"/>
      <c r="G11" s="25"/>
      <c r="H11" s="25"/>
      <c r="I11" s="32" t="s">
        <v>5</v>
      </c>
    </row>
    <row r="12" ht="15.75" customHeight="1"/>
    <row r="14" ht="15.75" customHeight="1">
      <c r="B14" s="33" t="s">
        <v>29</v>
      </c>
    </row>
    <row r="15" ht="15.75" customHeight="1">
      <c r="B15" s="33" t="s">
        <v>30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3"/>
    <mergeCell ref="B2:B3"/>
    <mergeCell ref="C2:H3"/>
    <mergeCell ref="I2:I3"/>
  </mergeCells>
  <conditionalFormatting sqref="C4">
    <cfRule type="cellIs" dxfId="0" priority="1" operator="greaterThan">
      <formula>0</formula>
    </cfRule>
  </conditionalFormatting>
  <conditionalFormatting sqref="C4">
    <cfRule type="cellIs" dxfId="1" priority="2" operator="lessThan">
      <formula>1</formula>
    </cfRule>
  </conditionalFormatting>
  <conditionalFormatting sqref="C4:C10 D6:H6 D10:H10">
    <cfRule type="cellIs" dxfId="2" priority="3" operator="equal">
      <formula>"n.a."</formula>
    </cfRule>
  </conditionalFormatting>
  <conditionalFormatting sqref="C4:C10 D6:H6 D10:H10">
    <cfRule type="cellIs" dxfId="0" priority="4" operator="equal">
      <formula>"Y"</formula>
    </cfRule>
  </conditionalFormatting>
  <conditionalFormatting sqref="C4:C10 D6:H6 D10:H10">
    <cfRule type="cellIs" dxfId="1" priority="5" operator="equal">
      <formula>"N"</formula>
    </cfRule>
  </conditionalFormatting>
  <dataValidations>
    <dataValidation type="list" allowBlank="1" showErrorMessage="1" sqref="C7:C9">
      <formula1>"n.a.,Y,N,Partially"</formula1>
    </dataValidation>
    <dataValidation type="list" allowBlank="1" sqref="C10:H10">
      <formula1>"n.a.,Automotive,Aerospace,Railway,Maritime,Construction,Digital Life,Manufacturing,Application Domain Independent,Others"</formula1>
    </dataValidation>
    <dataValidation type="list" allowBlank="1" showInputMessage="1" prompt="Click and enter a value from the list of items" sqref="C4">
      <formula1>"n.a.,0,1,2,3,4,5,&gt;5"</formula1>
    </dataValidation>
    <dataValidation type="list" allowBlank="1" showErrorMessage="1" sqref="C6:H6">
      <formula1>"n.a.,Data,Modeling and Model-Driven Engineering,Requirements engineering,Continuous software and system engineering,Intelligence and automation,Others"</formula1>
    </dataValidation>
    <dataValidation type="list" allowBlank="1" showErrorMessage="1" sqref="C5">
      <formula1>"n.a.,Y,N"</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 customWidth="1" min="2" max="2" width="96.88"/>
    <col customWidth="1" min="3" max="4" width="12.5"/>
    <col customWidth="1" min="5" max="5" width="6.13"/>
    <col customWidth="1" min="6" max="6" width="3.13"/>
  </cols>
  <sheetData>
    <row r="1">
      <c r="A1" s="34"/>
      <c r="B1" s="35" t="s">
        <v>31</v>
      </c>
      <c r="C1" s="35" t="s">
        <v>32</v>
      </c>
      <c r="D1" s="36"/>
      <c r="E1" s="37"/>
      <c r="F1" s="38"/>
    </row>
    <row r="2">
      <c r="A2" s="39" t="s">
        <v>33</v>
      </c>
      <c r="B2" s="40" t="s">
        <v>34</v>
      </c>
      <c r="C2" s="41">
        <v>1.0</v>
      </c>
      <c r="D2" s="37"/>
      <c r="E2" s="37"/>
      <c r="F2" s="42"/>
    </row>
    <row r="3">
      <c r="A3" s="43"/>
      <c r="B3" s="40" t="s">
        <v>35</v>
      </c>
      <c r="C3" s="41">
        <v>1.0</v>
      </c>
      <c r="D3" s="36"/>
      <c r="E3" s="37"/>
      <c r="F3" s="42"/>
    </row>
    <row r="4">
      <c r="A4" s="43"/>
      <c r="B4" s="40" t="s">
        <v>36</v>
      </c>
      <c r="C4" s="41">
        <v>1.0</v>
      </c>
      <c r="D4" s="36"/>
      <c r="E4" s="36"/>
    </row>
    <row r="5">
      <c r="A5" s="43"/>
      <c r="B5" s="40" t="s">
        <v>37</v>
      </c>
      <c r="C5" s="41">
        <v>1.0</v>
      </c>
      <c r="D5" s="36"/>
      <c r="E5" s="36"/>
    </row>
    <row r="6">
      <c r="A6" s="43"/>
      <c r="B6" s="40" t="s">
        <v>38</v>
      </c>
      <c r="C6" s="41">
        <v>1.0</v>
      </c>
      <c r="D6" s="36"/>
      <c r="E6" s="36"/>
    </row>
    <row r="7">
      <c r="A7" s="44"/>
      <c r="B7" s="40" t="s">
        <v>39</v>
      </c>
      <c r="C7" s="41">
        <v>1.0</v>
      </c>
      <c r="D7" s="45">
        <f>COUNTIF(B2:B7,"&lt;&gt;text")</f>
        <v>6</v>
      </c>
      <c r="E7" s="45">
        <f>(SUM(C2:C7)/D7)*10</f>
        <v>10</v>
      </c>
    </row>
    <row r="8">
      <c r="A8" s="46" t="s">
        <v>40</v>
      </c>
      <c r="B8" s="47" t="s">
        <v>41</v>
      </c>
      <c r="C8" s="48">
        <v>1.0</v>
      </c>
      <c r="D8" s="36"/>
      <c r="E8" s="36"/>
    </row>
    <row r="9">
      <c r="A9" s="43"/>
      <c r="B9" s="47" t="s">
        <v>42</v>
      </c>
      <c r="C9" s="49">
        <v>0.5</v>
      </c>
      <c r="D9" s="36"/>
      <c r="E9" s="36"/>
    </row>
    <row r="10">
      <c r="A10" s="43"/>
      <c r="B10" s="47" t="s">
        <v>43</v>
      </c>
      <c r="C10" s="48">
        <v>1.0</v>
      </c>
      <c r="D10" s="36"/>
      <c r="E10" s="36"/>
    </row>
    <row r="11">
      <c r="A11" s="43"/>
      <c r="B11" s="47" t="s">
        <v>44</v>
      </c>
      <c r="C11" s="49">
        <v>0.0</v>
      </c>
      <c r="D11" s="36"/>
      <c r="E11" s="36"/>
    </row>
    <row r="12">
      <c r="A12" s="43"/>
      <c r="B12" s="47" t="s">
        <v>45</v>
      </c>
      <c r="C12" s="48">
        <v>1.0</v>
      </c>
      <c r="D12" s="36"/>
      <c r="E12" s="36"/>
    </row>
    <row r="13">
      <c r="A13" s="43"/>
      <c r="B13" s="47" t="s">
        <v>46</v>
      </c>
      <c r="C13" s="48">
        <v>1.0</v>
      </c>
      <c r="D13" s="36"/>
      <c r="E13" s="36"/>
    </row>
    <row r="14">
      <c r="A14" s="43"/>
      <c r="B14" s="47" t="s">
        <v>47</v>
      </c>
      <c r="C14" s="48">
        <v>1.0</v>
      </c>
      <c r="D14" s="36"/>
      <c r="E14" s="36"/>
    </row>
    <row r="15">
      <c r="A15" s="43"/>
      <c r="B15" s="47" t="s">
        <v>48</v>
      </c>
      <c r="C15" s="48">
        <v>1.0</v>
      </c>
      <c r="D15" s="36"/>
      <c r="E15" s="36"/>
    </row>
    <row r="16">
      <c r="A16" s="43"/>
      <c r="B16" s="47" t="s">
        <v>49</v>
      </c>
      <c r="C16" s="48">
        <v>1.0</v>
      </c>
      <c r="D16" s="36"/>
      <c r="E16" s="36"/>
    </row>
    <row r="17">
      <c r="A17" s="43"/>
      <c r="B17" s="47" t="s">
        <v>50</v>
      </c>
      <c r="C17" s="48">
        <v>1.0</v>
      </c>
      <c r="D17" s="36"/>
      <c r="E17" s="36"/>
    </row>
    <row r="18">
      <c r="A18" s="43"/>
      <c r="B18" s="47" t="s">
        <v>51</v>
      </c>
      <c r="C18" s="48">
        <v>1.0</v>
      </c>
      <c r="D18" s="36"/>
      <c r="E18" s="36"/>
    </row>
    <row r="19">
      <c r="A19" s="44"/>
      <c r="B19" s="47" t="s">
        <v>52</v>
      </c>
      <c r="C19" s="49">
        <v>0.5</v>
      </c>
      <c r="D19" s="45">
        <f>COUNTIF(B8:B19,"&lt;&gt;text")</f>
        <v>12</v>
      </c>
      <c r="E19" s="45">
        <f>(SUM(C8:C19)/D19)*10</f>
        <v>8.333333333</v>
      </c>
    </row>
    <row r="20">
      <c r="A20" s="50" t="s">
        <v>53</v>
      </c>
      <c r="B20" s="51" t="s">
        <v>54</v>
      </c>
      <c r="C20" s="52">
        <v>1.0</v>
      </c>
      <c r="D20" s="36"/>
      <c r="E20" s="36"/>
    </row>
    <row r="21">
      <c r="A21" s="43"/>
      <c r="B21" s="51" t="s">
        <v>55</v>
      </c>
      <c r="C21" s="52">
        <v>1.0</v>
      </c>
      <c r="D21" s="36"/>
      <c r="E21" s="36"/>
    </row>
    <row r="22">
      <c r="A22" s="43"/>
      <c r="B22" s="51" t="s">
        <v>56</v>
      </c>
      <c r="C22" s="53">
        <v>0.5</v>
      </c>
      <c r="D22" s="36"/>
      <c r="E22" s="36"/>
    </row>
    <row r="23">
      <c r="A23" s="43"/>
      <c r="B23" s="51" t="s">
        <v>57</v>
      </c>
      <c r="C23" s="53">
        <v>0.5</v>
      </c>
      <c r="D23" s="37"/>
      <c r="E23" s="37"/>
      <c r="F23" s="42"/>
    </row>
    <row r="24">
      <c r="A24" s="43"/>
      <c r="B24" s="51" t="s">
        <v>58</v>
      </c>
      <c r="C24" s="52">
        <v>1.0</v>
      </c>
      <c r="D24" s="37"/>
      <c r="E24" s="37"/>
      <c r="F24" s="42"/>
    </row>
    <row r="25">
      <c r="A25" s="44"/>
      <c r="B25" s="51" t="s">
        <v>59</v>
      </c>
      <c r="C25" s="52">
        <v>1.0</v>
      </c>
      <c r="D25" s="54">
        <f>COUNTIF(B20:B25,"&lt;&gt;text")</f>
        <v>6</v>
      </c>
      <c r="E25" s="54">
        <f>(SUM(C20:C25)/D25)*10</f>
        <v>8.333333333</v>
      </c>
      <c r="F25" s="42"/>
    </row>
    <row r="26">
      <c r="A26" s="55" t="s">
        <v>60</v>
      </c>
      <c r="B26" s="56" t="s">
        <v>61</v>
      </c>
      <c r="C26" s="57">
        <v>1.0</v>
      </c>
      <c r="D26" s="37"/>
      <c r="E26" s="37"/>
      <c r="F26" s="42"/>
    </row>
    <row r="27">
      <c r="A27" s="43"/>
      <c r="B27" s="56" t="s">
        <v>62</v>
      </c>
      <c r="C27" s="57">
        <v>1.0</v>
      </c>
      <c r="D27" s="37"/>
      <c r="E27" s="37"/>
      <c r="F27" s="42"/>
    </row>
    <row r="28">
      <c r="A28" s="44"/>
      <c r="B28" s="56" t="s">
        <v>63</v>
      </c>
      <c r="C28" s="58">
        <v>0.5</v>
      </c>
      <c r="D28" s="54">
        <f>COUNTIF(B26:B28,"&lt;&gt;text")</f>
        <v>3</v>
      </c>
      <c r="E28" s="54">
        <f>(SUM(C26:C28)/D28)*10</f>
        <v>8.333333333</v>
      </c>
      <c r="F28" s="42"/>
    </row>
    <row r="29">
      <c r="B29" s="59">
        <f>COUNTIF(B2:B28,"&lt;&gt;text")</f>
        <v>27</v>
      </c>
      <c r="C29" s="59">
        <f>(SUM(C2:C28)/B29)*10</f>
        <v>8.703703704</v>
      </c>
    </row>
  </sheetData>
  <mergeCells count="4">
    <mergeCell ref="A2:A7"/>
    <mergeCell ref="A8:A19"/>
    <mergeCell ref="A20:A25"/>
    <mergeCell ref="A26:A28"/>
  </mergeCells>
  <drawing r:id="rId1"/>
</worksheet>
</file>