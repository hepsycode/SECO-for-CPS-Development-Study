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view" sheetId="1" r:id="rId4"/>
    <sheet state="visible" name="Quality" sheetId="2"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
      <text>
        <t xml:space="preserve">To me this feels quite similar to the other work with Bosch in it, kind of stretching a lot of the "science"
	-Johan Cederbladh</t>
      </text>
    </comment>
  </commentList>
</comments>
</file>

<file path=xl/sharedStrings.xml><?xml version="1.0" encoding="utf-8"?>
<sst xmlns="http://schemas.openxmlformats.org/spreadsheetml/2006/main" count="73" uniqueCount="63">
  <si>
    <t>ID</t>
  </si>
  <si>
    <t>Questions/Assertions</t>
  </si>
  <si>
    <t>Comment</t>
  </si>
  <si>
    <t>The paper proposes the following contributions:</t>
  </si>
  <si>
    <t>This paper goes from software ecosystems into dynamic software ecosystems. They argue that for a DECO, you need to consider four things: autonomy/automation, trust management, dynamic goal evaluation, and architectural implications. They explore DECO using four case studies (the case studies seem quite hypothetical and I don't think they did empirical work outside of "office exploration"): smart manufacturing/Industry 4.0, automotive, smart grids and fintech. The implications for organizations are issues like automation across organizational boundaries, and transitions from manual to automated alignment between orgs. The dynamic aspect of the DECO implicates that you have to think about: dynamic markets, decentralized autotonomous organizations, as well as continuous adaptation, delivery and deployment.</t>
  </si>
  <si>
    <t>&lt;add your comment here if any&gt;</t>
  </si>
  <si>
    <t>CPS Case Study / Example availability</t>
  </si>
  <si>
    <t>The case studies are good to illustrate their findings, but they seem to be desk case studies.</t>
  </si>
  <si>
    <t>SECO Tools Availability (add repository or website in the comment)</t>
  </si>
  <si>
    <t>N</t>
  </si>
  <si>
    <t>No external tools as far as I can tell</t>
  </si>
  <si>
    <t>Related Challenge - See SPE paper (Write Others in comment cell)</t>
  </si>
  <si>
    <t>Continuous software and system engineering</t>
  </si>
  <si>
    <t>Intelligence and automation</t>
  </si>
  <si>
    <t>n.a.</t>
  </si>
  <si>
    <t>1 Does not talk a lot about data.
2 They talk a bit about models.
3 Talk a little about requirements, but just in passing
4 They talk specifically about continuous practices at the end of section VI with the sub-heading Continuous Adaptation, Delivery, and Deployment
5 Much of the discussion is on intelligent (and reactive) automation</t>
  </si>
  <si>
    <t>Does it contribute to answer RQ1?</t>
  </si>
  <si>
    <t>Y</t>
  </si>
  <si>
    <t>Yes, their RQ2 is "What are the implications for organizations adopting a dynamic ecosystem?" and the answer is basically two challenges: (1) Automation Across Organizational Boundaries and (2) Transition From Manual to Automated Alignment Between Organizations</t>
  </si>
  <si>
    <t>Does the paper present methods, tools, and benefits in terms of industry/academia collaboration? If so, write what methods, tools, and benefits in the comment column</t>
  </si>
  <si>
    <t>Not really</t>
  </si>
  <si>
    <t>Does it contribute to answer RQ2?</t>
  </si>
  <si>
    <t>Application Domain(s) (at least one or domain independent)</t>
  </si>
  <si>
    <t>Automotive</t>
  </si>
  <si>
    <t>Manufacturing</t>
  </si>
  <si>
    <t>Application Domain Independent</t>
  </si>
  <si>
    <t>The findings are probably not domain specific, but still they had four case studies, including manufacturing and automotive.</t>
  </si>
  <si>
    <t>Quality Evaluation (From 1 to 10) - From "Quality" Tab</t>
  </si>
  <si>
    <t>RQ1: In the SECO, what are the main challenges faced during the CPS development?</t>
  </si>
  <si>
    <t>RQ2: How do industry and academia collaborate and benefit in the SECO for CPS development?</t>
  </si>
  <si>
    <t>Assessment Criterion (Question)</t>
  </si>
  <si>
    <t>Value (1, 0.5, 0)</t>
  </si>
  <si>
    <t>Reporting</t>
  </si>
  <si>
    <t>Is there a clear statement (definition) of the aims (goals, purposes, problems, motivations, objectives, questions) of the research?</t>
  </si>
  <si>
    <t>Is there an adequate description of the context in which the research was carried out?</t>
  </si>
  <si>
    <t>Is the paper based on research?</t>
  </si>
  <si>
    <t>Are references maintained accurately?</t>
  </si>
  <si>
    <t>Does the study answer the research question defined or presents the results in a clear way?</t>
  </si>
  <si>
    <t>Is the reporting clear and coherent?</t>
  </si>
  <si>
    <t>Rigor</t>
  </si>
  <si>
    <t>Are the metrics (methods, design, measures) used in the study clearly (fully) defined (description)?</t>
  </si>
  <si>
    <t>Are the variables/metrics/methods/design used in the study adequately measured and validated (justified)?</t>
  </si>
  <si>
    <t>Was the data analysis (collected) sufficiently rigorous?</t>
  </si>
  <si>
    <t>Was there a control group with which to compare treatments?</t>
  </si>
  <si>
    <t>Are the data collection methods adequately described (defined)?</t>
  </si>
  <si>
    <t>Was the data collected in a way that addressed the research issue?</t>
  </si>
  <si>
    <t>Was the research design appropriate to address the aims of the research?</t>
  </si>
  <si>
    <t>Was the recruitment strategy appropriate to the aims of the research?</t>
  </si>
  <si>
    <t>Does the study provide description and justification of the data analysis approaches?</t>
  </si>
  <si>
    <t>Is the methodology (design) used suitable to address the stated research questions?</t>
  </si>
  <si>
    <t>Is the study design stated clearly?</t>
  </si>
  <si>
    <t>Are the metrics used in the study the most relevant ones for answering the research questions?</t>
  </si>
  <si>
    <t>Credibility</t>
  </si>
  <si>
    <t>Is there a clear statement of findings (data) and relate to the aims of research?</t>
  </si>
  <si>
    <t>Do the researchers discuss any problems (limitations, threats) with the validity (reliability) of their results?</t>
  </si>
  <si>
    <t>Has the relationship between researcher and participants been considered to an adequate degree?</t>
  </si>
  <si>
    <t>Is the study replicable?</t>
  </si>
  <si>
    <t>Has sufficient data been presented to support the findings?</t>
  </si>
  <si>
    <t>Are the findings credible?</t>
  </si>
  <si>
    <t>Relevance</t>
  </si>
  <si>
    <t>Is the study of value for research or practice?</t>
  </si>
  <si>
    <t>Are conclusions, implications for practice and future research, reported suitably for its audience?</t>
  </si>
  <si>
    <t>Has the approach been validated on a certain scale (either in academia or/ and industry)?</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</si>
</sst>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sz val="10.0"/>
      <color theme="1"/>
      <name val="Arial"/>
    </font>
    <font>
      <b/>
      <i/>
      <sz val="10.0"/>
      <color theme="1"/>
      <name val="Arial"/>
    </font>
    <font>
      <i/>
      <sz val="10.0"/>
      <color theme="1"/>
      <name val="Arial"/>
    </font>
    <font/>
    <font>
      <sz val="12.0"/>
      <color theme="1"/>
      <name val="Lato"/>
    </font>
    <font>
      <sz val="11.0"/>
      <color theme="1"/>
      <name val="Calibri"/>
    </font>
    <font>
      <color theme="1"/>
      <name val="Arial"/>
    </font>
  </fonts>
  <fills count="11">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000000"/>
        <bgColor rgb="FF000000"/>
      </patternFill>
    </fill>
    <fill>
      <patternFill patternType="solid">
        <fgColor rgb="FFF3F3F3"/>
        <bgColor rgb="FFF3F3F3"/>
      </patternFill>
    </fill>
    <fill>
      <patternFill patternType="solid">
        <fgColor rgb="FFE7E6E6"/>
        <bgColor rgb="FFE7E6E6"/>
      </patternFill>
    </fill>
    <fill>
      <patternFill patternType="solid">
        <fgColor rgb="FFFCE4D6"/>
        <bgColor rgb="FFFCE4D6"/>
      </patternFill>
    </fill>
    <fill>
      <patternFill patternType="solid">
        <fgColor rgb="FFD9E1F2"/>
        <bgColor rgb="FFD9E1F2"/>
      </patternFill>
    </fill>
    <fill>
      <patternFill patternType="solid">
        <fgColor rgb="FFE2EFDA"/>
        <bgColor rgb="FFE2EFDA"/>
      </patternFill>
    </fill>
    <fill>
      <patternFill patternType="solid">
        <fgColor rgb="FFFFF2CC"/>
        <bgColor rgb="FFFFF2CC"/>
      </patternFill>
    </fill>
  </fills>
  <borders count="27">
    <border/>
    <border>
      <left/>
      <right/>
      <top/>
      <bottom/>
    </border>
    <border>
      <left style="thin">
        <color rgb="FF000000"/>
      </left>
      <right/>
      <top style="thin">
        <color rgb="FF000000"/>
      </top>
      <bottom style="thin">
        <color rgb="FF000000"/>
      </bottom>
    </border>
    <border>
      <left/>
      <right style="double">
        <color rgb="FF000000"/>
      </right>
      <top/>
    </border>
    <border>
      <left style="thin">
        <color rgb="FF000000"/>
      </left>
      <right style="thin">
        <color rgb="FF000000"/>
      </right>
      <top style="thin">
        <color rgb="FF000000"/>
      </top>
    </border>
    <border>
      <left style="thin">
        <color rgb="FF000000"/>
      </left>
      <right/>
      <top style="double">
        <color rgb="FF000000"/>
      </top>
    </border>
    <border>
      <left style="thin">
        <color rgb="FF000000"/>
      </left>
      <top style="thin">
        <color rgb="FF000000"/>
      </top>
    </border>
    <border>
      <top style="thin">
        <color rgb="FF000000"/>
      </top>
    </border>
    <border>
      <right style="double">
        <color rgb="FF000000"/>
      </right>
      <top style="thin">
        <color rgb="FF000000"/>
      </top>
    </border>
    <border>
      <left style="thin">
        <color rgb="FF000000"/>
      </left>
      <right style="double">
        <color rgb="FF000000"/>
      </right>
      <top style="thin">
        <color rgb="FF000000"/>
      </top>
    </border>
    <border>
      <left style="thin">
        <color rgb="FF000000"/>
      </left>
      <right style="thin">
        <color rgb="FF000000"/>
      </right>
      <bottom style="double">
        <color rgb="FF000000"/>
      </bottom>
    </border>
    <border>
      <left style="thin">
        <color rgb="FF000000"/>
      </left>
      <right/>
      <bottom style="double">
        <color rgb="FF000000"/>
      </bottom>
    </border>
    <border>
      <left style="thin">
        <color rgb="FF000000"/>
      </left>
      <bottom style="double">
        <color rgb="FF000000"/>
      </bottom>
    </border>
    <border>
      <bottom style="double">
        <color rgb="FF000000"/>
      </bottom>
    </border>
    <border>
      <right style="double">
        <color rgb="FF000000"/>
      </right>
      <bottom style="double">
        <color rgb="FF000000"/>
      </bottom>
    </border>
    <border>
      <left style="thin">
        <color rgb="FF000000"/>
      </left>
      <right style="double">
        <color rgb="FF000000"/>
      </right>
      <bottom style="double">
        <color rgb="FF000000"/>
      </bottom>
    </border>
    <border>
      <left style="thin">
        <color rgb="FF000000"/>
      </left>
      <right style="thin">
        <color rgb="FF000000"/>
      </right>
      <top style="double">
        <color rgb="FF000000"/>
      </top>
      <bottom style="double">
        <color rgb="FF000000"/>
      </bottom>
    </border>
    <border>
      <left style="thin">
        <color rgb="FF000000"/>
      </left>
      <right style="thin">
        <color rgb="FF000000"/>
      </right>
      <top/>
      <bottom style="thin">
        <color rgb="FF000000"/>
      </bottom>
    </border>
    <border>
      <left style="thin">
        <color rgb="FF000000"/>
      </left>
      <right style="double">
        <color rgb="FF000000"/>
      </right>
      <top style="thin">
        <color rgb="FF000000"/>
      </top>
      <bottom style="double">
        <color rgb="FF000000"/>
      </bottom>
    </border>
    <border>
      <left style="thin">
        <color rgb="FF000000"/>
      </left>
      <right/>
      <top/>
      <bottom style="double">
        <color rgb="FF000000"/>
      </bottom>
    </border>
    <border>
      <left/>
      <right style="thin">
        <color rgb="FF000000"/>
      </right>
      <top style="double">
        <color rgb="FF000000"/>
      </top>
      <bottom style="double">
        <color rgb="FF000000"/>
      </bottom>
    </border>
    <border>
      <left style="thin">
        <color rgb="FF000000"/>
      </left>
      <right style="thin">
        <color rgb="FF000000"/>
      </right>
      <top/>
      <bottom style="double">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right style="thin">
        <color rgb="FF000000"/>
      </righ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60">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2" numFmtId="0" xfId="0" applyAlignment="1" applyBorder="1" applyFont="1">
      <alignment horizontal="center" shrinkToFit="0" vertical="top" wrapText="1"/>
    </xf>
    <xf borderId="4" fillId="3" fontId="1" numFmtId="0" xfId="0" applyBorder="1" applyFill="1" applyFont="1"/>
    <xf borderId="5" fillId="3" fontId="1" numFmtId="1" xfId="0" applyAlignment="1" applyBorder="1" applyFont="1" applyNumberFormat="1">
      <alignment horizontal="left"/>
    </xf>
    <xf borderId="6" fillId="3" fontId="3" numFmtId="1" xfId="0" applyAlignment="1" applyBorder="1" applyFont="1" applyNumberFormat="1">
      <alignment readingOrder="0" shrinkToFit="0" vertical="bottom" wrapText="1"/>
    </xf>
    <xf borderId="7" fillId="0" fontId="4" numFmtId="0" xfId="0" applyBorder="1" applyFont="1"/>
    <xf borderId="8" fillId="0" fontId="4" numFmtId="0" xfId="0" applyBorder="1" applyFont="1"/>
    <xf borderId="9" fillId="3" fontId="3" numFmtId="1" xfId="0" applyAlignment="1" applyBorder="1" applyFont="1" applyNumberFormat="1">
      <alignment shrinkToFit="0" vertical="bottom" wrapText="1"/>
    </xf>
    <xf borderId="10" fillId="0" fontId="4" numFmtId="0" xfId="0" applyBorder="1" applyFont="1"/>
    <xf borderId="11" fillId="0" fontId="4" numFmtId="0" xfId="0" applyBorder="1" applyFont="1"/>
    <xf borderId="12" fillId="0" fontId="4" numFmtId="0" xfId="0" applyBorder="1" applyFont="1"/>
    <xf borderId="13" fillId="0" fontId="4" numFmtId="0" xfId="0" applyBorder="1" applyFont="1"/>
    <xf borderId="14" fillId="0" fontId="4" numFmtId="0" xfId="0" applyBorder="1" applyFont="1"/>
    <xf borderId="15" fillId="0" fontId="4" numFmtId="0" xfId="0" applyBorder="1" applyFont="1"/>
    <xf borderId="16" fillId="3" fontId="1" numFmtId="0" xfId="0" applyBorder="1" applyFont="1"/>
    <xf borderId="16" fillId="3" fontId="1" numFmtId="1" xfId="0" applyAlignment="1" applyBorder="1" applyFont="1" applyNumberFormat="1">
      <alignment horizontal="right" readingOrder="0"/>
    </xf>
    <xf borderId="16" fillId="4" fontId="1" numFmtId="1" xfId="0" applyBorder="1" applyFill="1" applyFont="1" applyNumberFormat="1"/>
    <xf borderId="15" fillId="3" fontId="3" numFmtId="1" xfId="0" applyAlignment="1" applyBorder="1" applyFont="1" applyNumberFormat="1">
      <alignment readingOrder="0" shrinkToFit="0" vertical="top" wrapText="1"/>
    </xf>
    <xf borderId="17" fillId="5" fontId="1" numFmtId="1" xfId="0" applyAlignment="1" applyBorder="1" applyFill="1" applyFont="1" applyNumberFormat="1">
      <alignment horizontal="right"/>
    </xf>
    <xf borderId="18" fillId="5" fontId="3" numFmtId="1" xfId="0" applyAlignment="1" applyBorder="1" applyFont="1" applyNumberFormat="1">
      <alignment readingOrder="0" shrinkToFit="0" vertical="top" wrapText="1"/>
    </xf>
    <xf borderId="16" fillId="3" fontId="1" numFmtId="1" xfId="0" applyAlignment="1" applyBorder="1" applyFont="1" applyNumberFormat="1">
      <alignment horizontal="right"/>
    </xf>
    <xf borderId="18" fillId="3" fontId="3" numFmtId="1" xfId="0" applyAlignment="1" applyBorder="1" applyFont="1" applyNumberFormat="1">
      <alignment readingOrder="0" shrinkToFit="0" vertical="top" wrapText="1"/>
    </xf>
    <xf borderId="19" fillId="3" fontId="1" numFmtId="1" xfId="0" applyAlignment="1" applyBorder="1" applyFont="1" applyNumberFormat="1">
      <alignment horizontal="right" readingOrder="0"/>
    </xf>
    <xf borderId="20" fillId="4" fontId="1" numFmtId="1" xfId="0" applyBorder="1" applyFont="1" applyNumberFormat="1"/>
    <xf borderId="16" fillId="3" fontId="1" numFmtId="0" xfId="0" applyAlignment="1" applyBorder="1" applyFont="1">
      <alignment shrinkToFit="0" wrapText="1"/>
    </xf>
    <xf borderId="19" fillId="3" fontId="1" numFmtId="1" xfId="0" applyAlignment="1" applyBorder="1" applyFont="1" applyNumberFormat="1">
      <alignment horizontal="right"/>
    </xf>
    <xf borderId="19" fillId="5" fontId="1" numFmtId="1" xfId="0" applyAlignment="1" applyBorder="1" applyFont="1" applyNumberFormat="1">
      <alignment horizontal="right"/>
    </xf>
    <xf borderId="21" fillId="3" fontId="1" numFmtId="1" xfId="0" applyAlignment="1" applyBorder="1" applyFont="1" applyNumberFormat="1">
      <alignment horizontal="right" readingOrder="0"/>
    </xf>
    <xf borderId="21" fillId="3" fontId="1" numFmtId="1" xfId="0" applyAlignment="1" applyBorder="1" applyFont="1" applyNumberFormat="1">
      <alignment horizontal="right"/>
    </xf>
    <xf borderId="18" fillId="3" fontId="3" numFmtId="0" xfId="0" applyAlignment="1" applyBorder="1" applyFont="1">
      <alignment shrinkToFit="0" vertical="top" wrapText="1"/>
    </xf>
    <xf borderId="18" fillId="5" fontId="3" numFmtId="1" xfId="0" applyAlignment="1" applyBorder="1" applyFont="1" applyNumberFormat="1">
      <alignment shrinkToFit="0" vertical="top" wrapText="1"/>
    </xf>
    <xf borderId="0" fillId="3" fontId="5" numFmtId="0" xfId="0" applyAlignment="1" applyFont="1">
      <alignment vertical="bottom"/>
    </xf>
    <xf borderId="22" fillId="3" fontId="6" numFmtId="0" xfId="0" applyAlignment="1" applyBorder="1" applyFont="1">
      <alignment vertical="bottom"/>
    </xf>
    <xf borderId="23" fillId="6" fontId="6" numFmtId="0" xfId="0" applyAlignment="1" applyBorder="1" applyFill="1" applyFont="1">
      <alignment vertical="bottom"/>
    </xf>
    <xf borderId="0" fillId="0" fontId="7" numFmtId="0" xfId="0" applyAlignment="1" applyFont="1">
      <alignment vertical="bottom"/>
    </xf>
    <xf borderId="0" fillId="0" fontId="7" numFmtId="0" xfId="0" applyAlignment="1" applyFont="1">
      <alignment vertical="bottom"/>
    </xf>
    <xf borderId="0" fillId="0" fontId="6" numFmtId="0" xfId="0" applyAlignment="1" applyFont="1">
      <alignment vertical="bottom"/>
    </xf>
    <xf borderId="24" fillId="7" fontId="6" numFmtId="0" xfId="0" applyAlignment="1" applyBorder="1" applyFill="1" applyFont="1">
      <alignment horizontal="center" textRotation="90"/>
    </xf>
    <xf borderId="25" fillId="7" fontId="6" numFmtId="0" xfId="0" applyAlignment="1" applyBorder="1" applyFont="1">
      <alignment vertical="bottom"/>
    </xf>
    <xf borderId="25" fillId="7" fontId="6" numFmtId="0" xfId="0" applyAlignment="1" applyBorder="1" applyFont="1">
      <alignment horizontal="right" vertical="bottom"/>
    </xf>
    <xf borderId="0" fillId="0" fontId="6" numFmtId="0" xfId="0" applyAlignment="1" applyFont="1">
      <alignment horizontal="right" vertical="bottom"/>
    </xf>
    <xf borderId="24" fillId="0" fontId="4" numFmtId="0" xfId="0" applyBorder="1" applyFont="1"/>
    <xf borderId="26" fillId="0" fontId="4" numFmtId="0" xfId="0" applyBorder="1" applyFont="1"/>
    <xf borderId="25" fillId="7" fontId="6" numFmtId="0" xfId="0" applyAlignment="1" applyBorder="1" applyFont="1">
      <alignment horizontal="right" readingOrder="0" vertical="bottom"/>
    </xf>
    <xf borderId="0" fillId="0" fontId="7" numFmtId="0" xfId="0" applyAlignment="1" applyFont="1">
      <alignment horizontal="right" vertical="bottom"/>
    </xf>
    <xf borderId="24" fillId="8" fontId="6" numFmtId="0" xfId="0" applyAlignment="1" applyBorder="1" applyFill="1" applyFont="1">
      <alignment horizontal="center" textRotation="90"/>
    </xf>
    <xf borderId="25" fillId="8" fontId="6" numFmtId="0" xfId="0" applyAlignment="1" applyBorder="1" applyFont="1">
      <alignment vertical="bottom"/>
    </xf>
    <xf borderId="25" fillId="8" fontId="6" numFmtId="0" xfId="0" applyAlignment="1" applyBorder="1" applyFont="1">
      <alignment horizontal="right" readingOrder="0" vertical="bottom"/>
    </xf>
    <xf borderId="24" fillId="9" fontId="6" numFmtId="0" xfId="0" applyAlignment="1" applyBorder="1" applyFill="1" applyFont="1">
      <alignment horizontal="center" textRotation="90"/>
    </xf>
    <xf borderId="25" fillId="9" fontId="6" numFmtId="0" xfId="0" applyAlignment="1" applyBorder="1" applyFont="1">
      <alignment vertical="bottom"/>
    </xf>
    <xf borderId="25" fillId="9" fontId="6" numFmtId="0" xfId="0" applyAlignment="1" applyBorder="1" applyFont="1">
      <alignment horizontal="right" readingOrder="0" vertical="bottom"/>
    </xf>
    <xf borderId="25" fillId="9" fontId="6" numFmtId="0" xfId="0" applyAlignment="1" applyBorder="1" applyFont="1">
      <alignment horizontal="right" vertical="bottom"/>
    </xf>
    <xf borderId="0" fillId="0" fontId="7" numFmtId="0" xfId="0" applyAlignment="1" applyFont="1">
      <alignment horizontal="right" vertical="bottom"/>
    </xf>
    <xf borderId="24" fillId="10" fontId="6" numFmtId="0" xfId="0" applyAlignment="1" applyBorder="1" applyFill="1" applyFont="1">
      <alignment horizontal="center" textRotation="90"/>
    </xf>
    <xf borderId="25" fillId="10" fontId="6" numFmtId="0" xfId="0" applyAlignment="1" applyBorder="1" applyFont="1">
      <alignment vertical="bottom"/>
    </xf>
    <xf borderId="25" fillId="10" fontId="6" numFmtId="0" xfId="0" applyAlignment="1" applyBorder="1" applyFont="1">
      <alignment horizontal="right" readingOrder="0" vertical="bottom"/>
    </xf>
    <xf borderId="25" fillId="10" fontId="6" numFmtId="0" xfId="0" applyAlignment="1" applyBorder="1" applyFont="1">
      <alignment horizontal="right" vertical="bottom"/>
    </xf>
    <xf borderId="0" fillId="0" fontId="7" numFmtId="0" xfId="0" applyFont="1"/>
  </cellXfs>
  <cellStyles count="1">
    <cellStyle xfId="0" name="Normal" builtinId="0"/>
  </cellStyles>
  <dxfs count="3">
    <dxf>
      <font/>
      <fill>
        <patternFill patternType="solid">
          <fgColor rgb="FFB7E1CD"/>
          <bgColor rgb="FFB7E1CD"/>
        </patternFill>
      </fill>
      <border/>
    </dxf>
    <dxf>
      <font/>
      <fill>
        <patternFill patternType="solid">
          <fgColor rgb="FFF4C7C3"/>
          <bgColor rgb="FFF4C7C3"/>
        </patternFill>
      </fill>
      <border/>
    </dxf>
    <dxf>
      <font/>
      <fill>
        <patternFill patternType="solid">
          <fgColor rgb="FFFCE8B2"/>
          <bgColor rgb="FFFCE8B2"/>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5"/>
    <col customWidth="1" min="2" max="2" width="62.38"/>
    <col customWidth="1" min="3" max="3" width="9.0"/>
    <col customWidth="1" min="4" max="4" width="9.88"/>
    <col customWidth="1" min="5" max="5" width="9.0"/>
    <col customWidth="1" min="6" max="6" width="10.0"/>
    <col customWidth="1" min="7" max="7" width="9.38"/>
    <col customWidth="1" min="8" max="8" width="9.63"/>
    <col customWidth="1" min="9" max="9" width="62.13"/>
    <col customWidth="1" min="10" max="26" width="11.13"/>
  </cols>
  <sheetData>
    <row r="1" ht="15.75" customHeight="1">
      <c r="A1" s="1" t="s">
        <v>0</v>
      </c>
      <c r="B1" s="2" t="s">
        <v>1</v>
      </c>
      <c r="C1" s="1"/>
      <c r="D1" s="1"/>
      <c r="E1" s="1"/>
      <c r="F1" s="1"/>
      <c r="G1" s="1"/>
      <c r="H1" s="1"/>
      <c r="I1" s="3" t="s">
        <v>2</v>
      </c>
    </row>
    <row r="2" ht="15.75" customHeight="1">
      <c r="A2" s="4">
        <v>1.0</v>
      </c>
      <c r="B2" s="5" t="s">
        <v>3</v>
      </c>
      <c r="C2" s="6" t="s">
        <v>4</v>
      </c>
      <c r="D2" s="7"/>
      <c r="E2" s="7"/>
      <c r="F2" s="7"/>
      <c r="G2" s="7"/>
      <c r="H2" s="8"/>
      <c r="I2" s="9" t="s">
        <v>5</v>
      </c>
    </row>
    <row r="3" ht="82.5" customHeight="1">
      <c r="A3" s="10"/>
      <c r="B3" s="11"/>
      <c r="C3" s="12"/>
      <c r="D3" s="13"/>
      <c r="E3" s="13"/>
      <c r="F3" s="13"/>
      <c r="G3" s="13"/>
      <c r="H3" s="14"/>
      <c r="I3" s="15"/>
    </row>
    <row r="4" ht="15.75" customHeight="1">
      <c r="A4" s="16">
        <v>2.0</v>
      </c>
      <c r="B4" s="16" t="s">
        <v>6</v>
      </c>
      <c r="C4" s="17">
        <v>4.0</v>
      </c>
      <c r="D4" s="18"/>
      <c r="E4" s="18"/>
      <c r="F4" s="18"/>
      <c r="G4" s="18"/>
      <c r="H4" s="18"/>
      <c r="I4" s="19" t="s">
        <v>7</v>
      </c>
    </row>
    <row r="5" ht="15.75" customHeight="1">
      <c r="A5" s="16">
        <v>3.0</v>
      </c>
      <c r="B5" s="16" t="s">
        <v>8</v>
      </c>
      <c r="C5" s="20" t="s">
        <v>9</v>
      </c>
      <c r="D5" s="18"/>
      <c r="E5" s="18"/>
      <c r="F5" s="18"/>
      <c r="G5" s="18"/>
      <c r="H5" s="18"/>
      <c r="I5" s="21" t="s">
        <v>10</v>
      </c>
    </row>
    <row r="6">
      <c r="A6" s="16">
        <v>4.0</v>
      </c>
      <c r="B6" s="16" t="s">
        <v>11</v>
      </c>
      <c r="C6" s="17" t="s">
        <v>12</v>
      </c>
      <c r="D6" s="17" t="s">
        <v>13</v>
      </c>
      <c r="E6" s="22" t="s">
        <v>14</v>
      </c>
      <c r="F6" s="22" t="s">
        <v>14</v>
      </c>
      <c r="G6" s="22" t="s">
        <v>14</v>
      </c>
      <c r="H6" s="22" t="s">
        <v>14</v>
      </c>
      <c r="I6" s="23" t="s">
        <v>15</v>
      </c>
    </row>
    <row r="7" ht="15.75" customHeight="1">
      <c r="A7" s="16">
        <v>5.0</v>
      </c>
      <c r="B7" s="16" t="s">
        <v>16</v>
      </c>
      <c r="C7" s="24" t="s">
        <v>17</v>
      </c>
      <c r="D7" s="25"/>
      <c r="E7" s="25"/>
      <c r="F7" s="25"/>
      <c r="G7" s="25"/>
      <c r="H7" s="18"/>
      <c r="I7" s="23" t="s">
        <v>18</v>
      </c>
    </row>
    <row r="8" ht="15.75" customHeight="1">
      <c r="A8" s="16">
        <v>6.0</v>
      </c>
      <c r="B8" s="26" t="s">
        <v>19</v>
      </c>
      <c r="C8" s="27" t="s">
        <v>9</v>
      </c>
      <c r="D8" s="25"/>
      <c r="E8" s="25"/>
      <c r="F8" s="25"/>
      <c r="G8" s="25"/>
      <c r="H8" s="18"/>
      <c r="I8" s="23" t="s">
        <v>20</v>
      </c>
    </row>
    <row r="9" ht="15.75" customHeight="1">
      <c r="A9" s="16">
        <v>7.0</v>
      </c>
      <c r="B9" s="16" t="s">
        <v>21</v>
      </c>
      <c r="C9" s="28" t="s">
        <v>9</v>
      </c>
      <c r="D9" s="25"/>
      <c r="E9" s="25"/>
      <c r="F9" s="25"/>
      <c r="G9" s="25"/>
      <c r="H9" s="18"/>
      <c r="I9" s="21" t="s">
        <v>20</v>
      </c>
    </row>
    <row r="10" ht="15.75" customHeight="1">
      <c r="A10" s="16">
        <v>8.0</v>
      </c>
      <c r="B10" s="16" t="s">
        <v>22</v>
      </c>
      <c r="C10" s="29" t="s">
        <v>23</v>
      </c>
      <c r="D10" s="29" t="s">
        <v>24</v>
      </c>
      <c r="E10" s="29" t="s">
        <v>25</v>
      </c>
      <c r="F10" s="30" t="s">
        <v>14</v>
      </c>
      <c r="G10" s="30" t="s">
        <v>14</v>
      </c>
      <c r="H10" s="30" t="s">
        <v>14</v>
      </c>
      <c r="I10" s="23" t="s">
        <v>26</v>
      </c>
    </row>
    <row r="11" ht="15.75" customHeight="1">
      <c r="A11" s="16">
        <v>9.0</v>
      </c>
      <c r="B11" s="16" t="s">
        <v>27</v>
      </c>
      <c r="C11" s="31">
        <f>Quality!C29</f>
        <v>4.62962963</v>
      </c>
      <c r="D11" s="25"/>
      <c r="E11" s="25"/>
      <c r="F11" s="25"/>
      <c r="G11" s="25"/>
      <c r="H11" s="25"/>
      <c r="I11" s="32" t="s">
        <v>5</v>
      </c>
    </row>
    <row r="12" ht="15.75" customHeight="1"/>
    <row r="14" ht="15.75" customHeight="1">
      <c r="B14" s="33" t="s">
        <v>28</v>
      </c>
    </row>
    <row r="15" ht="15.75" customHeight="1">
      <c r="B15" s="33" t="s">
        <v>29</v>
      </c>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2:A3"/>
    <mergeCell ref="B2:B3"/>
    <mergeCell ref="C2:H3"/>
    <mergeCell ref="I2:I3"/>
  </mergeCells>
  <conditionalFormatting sqref="C4">
    <cfRule type="cellIs" dxfId="0" priority="1" operator="greaterThan">
      <formula>0</formula>
    </cfRule>
  </conditionalFormatting>
  <conditionalFormatting sqref="C4">
    <cfRule type="cellIs" dxfId="1" priority="2" operator="lessThan">
      <formula>1</formula>
    </cfRule>
  </conditionalFormatting>
  <conditionalFormatting sqref="C4:C10 D6:H6 D10:H10">
    <cfRule type="cellIs" dxfId="2" priority="3" operator="equal">
      <formula>"n.a."</formula>
    </cfRule>
  </conditionalFormatting>
  <conditionalFormatting sqref="C4:C10 D6:H6 D10:H10">
    <cfRule type="cellIs" dxfId="0" priority="4" operator="equal">
      <formula>"Y"</formula>
    </cfRule>
  </conditionalFormatting>
  <conditionalFormatting sqref="C4:C10 D6:H6 D10:H10">
    <cfRule type="cellIs" dxfId="1" priority="5" operator="equal">
      <formula>"N"</formula>
    </cfRule>
  </conditionalFormatting>
  <dataValidations>
    <dataValidation type="list" allowBlank="1" showErrorMessage="1" sqref="C7:C9">
      <formula1>"n.a.,Y,N,Partially"</formula1>
    </dataValidation>
    <dataValidation type="list" allowBlank="1" sqref="C10:H10">
      <formula1>"n.a.,Automotive,Aerospace,Railway,Maritime,Construction,Digital Life,Manufacturing,Application Domain Independent,Others"</formula1>
    </dataValidation>
    <dataValidation type="list" allowBlank="1" showInputMessage="1" prompt="Click and enter a value from the list of items" sqref="C4">
      <formula1>"n.a.,0,1,2,3,4,5,&gt;5"</formula1>
    </dataValidation>
    <dataValidation type="list" allowBlank="1" showErrorMessage="1" sqref="C6:H6">
      <formula1>"n.a.,Data,Modeling and Model-Driven Engineering,Requirements engineering,Continuous software and system engineering,Intelligence and automation,Others"</formula1>
    </dataValidation>
    <dataValidation type="list" allowBlank="1" showErrorMessage="1" sqref="C5">
      <formula1>"n.a.,Y,N"</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13"/>
    <col customWidth="1" min="2" max="2" width="96.88"/>
    <col customWidth="1" min="3" max="4" width="12.5"/>
    <col customWidth="1" min="5" max="5" width="6.13"/>
    <col customWidth="1" min="6" max="6" width="3.13"/>
  </cols>
  <sheetData>
    <row r="1">
      <c r="A1" s="34"/>
      <c r="B1" s="35" t="s">
        <v>30</v>
      </c>
      <c r="C1" s="35" t="s">
        <v>31</v>
      </c>
      <c r="D1" s="36"/>
      <c r="E1" s="37"/>
      <c r="F1" s="38"/>
    </row>
    <row r="2">
      <c r="A2" s="39" t="s">
        <v>32</v>
      </c>
      <c r="B2" s="40" t="s">
        <v>33</v>
      </c>
      <c r="C2" s="41">
        <v>1.0</v>
      </c>
      <c r="D2" s="37"/>
      <c r="E2" s="37"/>
      <c r="F2" s="42"/>
    </row>
    <row r="3">
      <c r="A3" s="43"/>
      <c r="B3" s="40" t="s">
        <v>34</v>
      </c>
      <c r="C3" s="41">
        <v>1.0</v>
      </c>
      <c r="D3" s="36"/>
      <c r="E3" s="37"/>
      <c r="F3" s="42"/>
    </row>
    <row r="4">
      <c r="A4" s="43"/>
      <c r="B4" s="40" t="s">
        <v>35</v>
      </c>
      <c r="C4" s="41">
        <v>1.0</v>
      </c>
      <c r="D4" s="36"/>
      <c r="E4" s="36"/>
    </row>
    <row r="5">
      <c r="A5" s="43"/>
      <c r="B5" s="40" t="s">
        <v>36</v>
      </c>
      <c r="C5" s="41">
        <v>1.0</v>
      </c>
      <c r="D5" s="36"/>
      <c r="E5" s="36"/>
    </row>
    <row r="6">
      <c r="A6" s="43"/>
      <c r="B6" s="40" t="s">
        <v>37</v>
      </c>
      <c r="C6" s="41">
        <v>1.0</v>
      </c>
      <c r="D6" s="36"/>
      <c r="E6" s="36"/>
    </row>
    <row r="7">
      <c r="A7" s="44"/>
      <c r="B7" s="40" t="s">
        <v>38</v>
      </c>
      <c r="C7" s="45">
        <v>0.5</v>
      </c>
      <c r="D7" s="46">
        <f>COUNTIF(B2:B7,"&lt;&gt;text")</f>
        <v>6</v>
      </c>
      <c r="E7" s="46">
        <f>(SUM(C2:C7)/D7)*10</f>
        <v>9.166666667</v>
      </c>
    </row>
    <row r="8">
      <c r="A8" s="47" t="s">
        <v>39</v>
      </c>
      <c r="B8" s="48" t="s">
        <v>40</v>
      </c>
      <c r="C8" s="49">
        <v>0.0</v>
      </c>
      <c r="D8" s="36"/>
      <c r="E8" s="36"/>
    </row>
    <row r="9">
      <c r="A9" s="43"/>
      <c r="B9" s="48" t="s">
        <v>41</v>
      </c>
      <c r="C9" s="49">
        <v>0.0</v>
      </c>
      <c r="D9" s="36"/>
      <c r="E9" s="36"/>
    </row>
    <row r="10">
      <c r="A10" s="43"/>
      <c r="B10" s="48" t="s">
        <v>42</v>
      </c>
      <c r="C10" s="49">
        <v>0.0</v>
      </c>
      <c r="D10" s="36"/>
      <c r="E10" s="36"/>
    </row>
    <row r="11">
      <c r="A11" s="43"/>
      <c r="B11" s="48" t="s">
        <v>43</v>
      </c>
      <c r="C11" s="49">
        <v>0.0</v>
      </c>
      <c r="D11" s="36"/>
      <c r="E11" s="36"/>
    </row>
    <row r="12">
      <c r="A12" s="43"/>
      <c r="B12" s="48" t="s">
        <v>44</v>
      </c>
      <c r="C12" s="49">
        <v>0.0</v>
      </c>
      <c r="D12" s="36"/>
      <c r="E12" s="36"/>
    </row>
    <row r="13">
      <c r="A13" s="43"/>
      <c r="B13" s="48" t="s">
        <v>45</v>
      </c>
      <c r="C13" s="49">
        <v>0.0</v>
      </c>
      <c r="D13" s="36"/>
      <c r="E13" s="36"/>
    </row>
    <row r="14">
      <c r="A14" s="43"/>
      <c r="B14" s="48" t="s">
        <v>46</v>
      </c>
      <c r="C14" s="49">
        <v>0.5</v>
      </c>
      <c r="D14" s="36"/>
      <c r="E14" s="36"/>
    </row>
    <row r="15">
      <c r="A15" s="43"/>
      <c r="B15" s="48" t="s">
        <v>47</v>
      </c>
      <c r="C15" s="49">
        <v>0.5</v>
      </c>
      <c r="D15" s="36"/>
      <c r="E15" s="36"/>
    </row>
    <row r="16">
      <c r="A16" s="43"/>
      <c r="B16" s="48" t="s">
        <v>48</v>
      </c>
      <c r="C16" s="49">
        <v>0.5</v>
      </c>
      <c r="D16" s="36"/>
      <c r="E16" s="36"/>
    </row>
    <row r="17">
      <c r="A17" s="43"/>
      <c r="B17" s="48" t="s">
        <v>49</v>
      </c>
      <c r="C17" s="49">
        <v>0.5</v>
      </c>
      <c r="D17" s="36"/>
      <c r="E17" s="36"/>
    </row>
    <row r="18">
      <c r="A18" s="43"/>
      <c r="B18" s="48" t="s">
        <v>50</v>
      </c>
      <c r="C18" s="49">
        <v>0.5</v>
      </c>
      <c r="D18" s="36"/>
      <c r="E18" s="36"/>
    </row>
    <row r="19">
      <c r="A19" s="44"/>
      <c r="B19" s="48" t="s">
        <v>51</v>
      </c>
      <c r="C19" s="49">
        <v>0.0</v>
      </c>
      <c r="D19" s="46">
        <f>COUNTIF(B8:B19,"&lt;&gt;text")</f>
        <v>12</v>
      </c>
      <c r="E19" s="46">
        <f>(SUM(C8:C19)/D19)*10</f>
        <v>2.083333333</v>
      </c>
    </row>
    <row r="20">
      <c r="A20" s="50" t="s">
        <v>52</v>
      </c>
      <c r="B20" s="51" t="s">
        <v>53</v>
      </c>
      <c r="C20" s="52">
        <v>0.5</v>
      </c>
      <c r="D20" s="36"/>
      <c r="E20" s="36"/>
    </row>
    <row r="21">
      <c r="A21" s="43"/>
      <c r="B21" s="51" t="s">
        <v>54</v>
      </c>
      <c r="C21" s="53">
        <v>1.0</v>
      </c>
      <c r="D21" s="36"/>
      <c r="E21" s="36"/>
    </row>
    <row r="22">
      <c r="A22" s="43"/>
      <c r="B22" s="51" t="s">
        <v>55</v>
      </c>
      <c r="C22" s="52">
        <v>0.5</v>
      </c>
      <c r="D22" s="36"/>
      <c r="E22" s="36"/>
    </row>
    <row r="23">
      <c r="A23" s="43"/>
      <c r="B23" s="51" t="s">
        <v>56</v>
      </c>
      <c r="C23" s="52">
        <v>0.0</v>
      </c>
      <c r="D23" s="37"/>
      <c r="E23" s="37"/>
      <c r="F23" s="42"/>
    </row>
    <row r="24">
      <c r="A24" s="43"/>
      <c r="B24" s="51" t="s">
        <v>57</v>
      </c>
      <c r="C24" s="52">
        <v>0.0</v>
      </c>
      <c r="D24" s="37"/>
      <c r="E24" s="37"/>
      <c r="F24" s="42"/>
    </row>
    <row r="25">
      <c r="A25" s="44"/>
      <c r="B25" s="51" t="s">
        <v>58</v>
      </c>
      <c r="C25" s="52">
        <v>0.5</v>
      </c>
      <c r="D25" s="54">
        <f>COUNTIF(B20:B25,"&lt;&gt;text")</f>
        <v>6</v>
      </c>
      <c r="E25" s="54">
        <f>(SUM(C20:C25)/D25)*10</f>
        <v>4.166666667</v>
      </c>
      <c r="F25" s="42"/>
    </row>
    <row r="26">
      <c r="A26" s="55" t="s">
        <v>59</v>
      </c>
      <c r="B26" s="56" t="s">
        <v>60</v>
      </c>
      <c r="C26" s="57">
        <v>0.5</v>
      </c>
      <c r="D26" s="37"/>
      <c r="E26" s="37"/>
      <c r="F26" s="42"/>
    </row>
    <row r="27">
      <c r="A27" s="43"/>
      <c r="B27" s="56" t="s">
        <v>61</v>
      </c>
      <c r="C27" s="58">
        <v>1.0</v>
      </c>
      <c r="D27" s="37"/>
      <c r="E27" s="37"/>
      <c r="F27" s="42"/>
    </row>
    <row r="28">
      <c r="A28" s="44"/>
      <c r="B28" s="56" t="s">
        <v>62</v>
      </c>
      <c r="C28" s="57">
        <v>0.5</v>
      </c>
      <c r="D28" s="54">
        <f>COUNTIF(B26:B28,"&lt;&gt;text")</f>
        <v>3</v>
      </c>
      <c r="E28" s="54">
        <f>(SUM(C26:C28)/D28)*10</f>
        <v>6.666666667</v>
      </c>
      <c r="F28" s="42"/>
    </row>
    <row r="29">
      <c r="B29" s="59">
        <f>COUNTIF(B2:B28,"&lt;&gt;text")</f>
        <v>27</v>
      </c>
      <c r="C29" s="59">
        <f>(SUM(C2:C28)/B29)*10</f>
        <v>4.62962963</v>
      </c>
    </row>
  </sheetData>
  <mergeCells count="4">
    <mergeCell ref="A2:A7"/>
    <mergeCell ref="A8:A19"/>
    <mergeCell ref="A20:A25"/>
    <mergeCell ref="A26:A28"/>
  </mergeCells>
  <drawing r:id="rId1"/>
</worksheet>
</file>